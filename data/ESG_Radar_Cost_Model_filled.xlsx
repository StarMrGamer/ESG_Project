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Pilot Cost" sheetId="3" state="visible" r:id="rId3"/>
    <sheet name="Unit Economics" sheetId="4" state="visible" r:id="rId4"/>
    <sheet name="Scale Scenarios" sheetId="5" state="visible" r:id="rId5"/>
    <sheet name="Hackathon Actuals" sheetId="6" state="visible" r:id="rId6"/>
    <sheet name="Pricing &amp; As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color rgb="000000CC"/>
    </font>
    <font>
      <b val="1"/>
      <color rgb="00B06F06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3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ESG Momentum Radar — Cost &amp; Scale Model (CALCULATING VERSION)</t>
        </is>
      </c>
    </row>
    <row r="2">
      <c r="A2" s="2" t="inlineStr">
        <is>
          <t>Built by scripts/build_cost_workbook.py. Re-run it to refresh; do not hand-edit, the inputs live in files.</t>
        </is>
      </c>
    </row>
    <row r="3">
      <c r="A3" s="3" t="inlineStr"/>
    </row>
    <row r="4">
      <c r="A4" s="1" t="inlineStr">
        <is>
          <t>COLOUR CONVENTION</t>
        </is>
      </c>
    </row>
    <row r="5">
      <c r="A5" s="3" t="inlineStr">
        <is>
          <t>BLUE   = an input you can change. Every input row carries its Source.</t>
        </is>
      </c>
    </row>
    <row r="6">
      <c r="A6" s="3" t="inlineStr">
        <is>
          <t>BLACK  = a formula. Excel computes it. Overwriting one breaks the model.</t>
        </is>
      </c>
    </row>
    <row r="7">
      <c r="A7" s="3" t="inlineStr">
        <is>
          <t>AMBER + shaded = still needed. Left EMPTY on purpose — a plausible number in a cost model is worse than a blank one, because a blank gets asked about.</t>
        </is>
      </c>
    </row>
    <row r="8">
      <c r="A8" s="3" t="inlineStr"/>
    </row>
    <row r="9">
      <c r="A9" s="1" t="inlineStr">
        <is>
          <t>WHAT CHANGED FROM THE SKELETON</t>
        </is>
      </c>
    </row>
    <row r="10">
      <c r="A10" s="3" t="inlineStr">
        <is>
          <t>The skeleton assumed 40 signals/company/month at 1,500 tokens/signal. That describes a system where a model does the scoring. This one does not: scoring is rule-based and costs ZERO tokens. All LLM cost is in GATHERING evidence, charged per SWEEP of a company, not per signal. The Unit Economics tab is built on the measured figure.</t>
        </is>
      </c>
    </row>
    <row r="11">
      <c r="A11" s="3" t="inlineStr"/>
    </row>
    <row r="12">
      <c r="A12" s="1" t="inlineStr">
        <is>
          <t>THE TWO MONEY STORIES — never mix them</t>
        </is>
      </c>
    </row>
    <row r="13">
      <c r="A13" s="3" t="inlineStr">
        <is>
          <t>PILOT ASK (commercial): what the pilot costs at real market rates. Pilot Cost tab.</t>
        </is>
      </c>
    </row>
    <row r="14">
      <c r="A14" s="3" t="inlineStr">
        <is>
          <t>HACKATHON ACTUALS: what the team is really spending this semester. Separate tab.</t>
        </is>
      </c>
    </row>
    <row r="15">
      <c r="A15" s="3" t="inlineStr"/>
    </row>
    <row r="16">
      <c r="A16" s="1" t="inlineStr">
        <is>
          <t>SOURCES BEHIND THE FILLED CELLS</t>
        </is>
      </c>
    </row>
    <row r="17">
      <c r="A17" s="3" t="inlineStr">
        <is>
          <t>Day rates: live MyCareersFuture postings (Workforce Singapore), median advertised monthly midpoint, grossed up by 17% employer CPF, over 260 working days. NOT a contractor/agency rate — an agency rate carries a margin on top.</t>
        </is>
      </c>
    </row>
    <row r="18">
      <c r="A18" s="3" t="inlineStr">
        <is>
          <t>Tokens: measured over a full 28-company harvest sweep (harvest.py --cost).</t>
        </is>
      </c>
    </row>
    <row r="19">
      <c r="A19" s="3" t="inlineStr">
        <is>
          <t>LLM prices: supplied at build time from the provider's published card. This model never guesses a price.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78" customWidth="1" min="4" max="4"/>
  </cols>
  <sheetData>
    <row r="1">
      <c r="A1" s="4" t="inlineStr">
        <is>
          <t>ASSUMPTIONS — the only tab you edit</t>
        </is>
      </c>
    </row>
    <row r="2">
      <c r="A2" s="5" t="inlineStr">
        <is>
          <t>Blue = input. Amber + shaded = still needed, deliberately left empty.</t>
        </is>
      </c>
    </row>
    <row r="4">
      <c r="A4" s="4" t="inlineStr">
        <is>
          <t>Assumption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Source / note</t>
        </is>
      </c>
    </row>
    <row r="5">
      <c r="A5" s="4" t="inlineStr">
        <is>
          <t>PEOPLE — pilot team</t>
        </is>
      </c>
    </row>
    <row r="6">
      <c r="A6" s="3" t="inlineStr">
        <is>
          <t>Data / ML engineer — day rate</t>
        </is>
      </c>
      <c r="B6" s="6" t="n">
        <v>405</v>
      </c>
      <c r="C6" t="inlineStr">
        <is>
          <t>SGD/day</t>
        </is>
      </c>
      <c r="D6" s="3" t="inlineStr">
        <is>
          <t>MyCareersFuture: median of 60 postings (335 matched), S$7,500/mo x 12 x 1.17 / 260</t>
        </is>
      </c>
    </row>
    <row r="7">
      <c r="A7" s="3" t="inlineStr">
        <is>
          <t>Full-stack engineer — day rate</t>
        </is>
      </c>
      <c r="B7" s="6" t="n">
        <v>398</v>
      </c>
      <c r="C7" t="inlineStr">
        <is>
          <t>SGD/day</t>
        </is>
      </c>
      <c r="D7" s="3" t="inlineStr">
        <is>
          <t>MyCareersFuture: median of 60 postings (114 matched), S$7,375/mo x 12 x 1.17 / 260</t>
        </is>
      </c>
    </row>
    <row r="8">
      <c r="A8" s="3" t="inlineStr">
        <is>
          <t>Domain / ESG analyst — day rate</t>
        </is>
      </c>
      <c r="B8" s="6" t="n">
        <v>290</v>
      </c>
      <c r="C8" t="inlineStr">
        <is>
          <t>SGD/day</t>
        </is>
      </c>
      <c r="D8" s="3" t="inlineStr">
        <is>
          <t xml:space="preserve">MyCareersFuture: median of 60 postings (143 matched), S$5,375/mo x 12 x 1.17 / 260  !! WIDE SAMPLE, LOW MEDIAN. 'ESG' matches any posting mentioning it, including junior operations roles, which pulls the median down. Narrower terms return far higher rates on samples </t>
        </is>
      </c>
    </row>
    <row r="9">
      <c r="A9" s="3" t="inlineStr">
        <is>
          <t>Project manager — day rate</t>
        </is>
      </c>
      <c r="B9" s="6" t="n">
        <v>435</v>
      </c>
      <c r="C9" t="inlineStr">
        <is>
          <t>SGD/day</t>
        </is>
      </c>
      <c r="D9" s="3" t="inlineStr">
        <is>
          <t>MyCareersFuture: median of 60 postings (3450 matched), S$8,050/mo x 12 x 1.17 / 260</t>
        </is>
      </c>
    </row>
    <row r="10">
      <c r="A10" s="3" t="inlineStr">
        <is>
          <t>Pilot duration</t>
        </is>
      </c>
      <c r="B10" s="6" t="n">
        <v>6</v>
      </c>
      <c r="C10" t="inlineStr">
        <is>
          <t>weeks</t>
        </is>
      </c>
      <c r="D10" s="3" t="inlineStr">
        <is>
          <t>Buyer journey — pilot stage is 6 weeks</t>
        </is>
      </c>
    </row>
    <row r="11">
      <c r="A11" s="3" t="inlineStr">
        <is>
          <t>Working days per week</t>
        </is>
      </c>
      <c r="B11" s="6" t="n">
        <v>5</v>
      </c>
      <c r="C11" t="inlineStr">
        <is>
          <t>days</t>
        </is>
      </c>
      <c r="D11" s="3" t="inlineStr">
        <is>
          <t>Standard</t>
        </is>
      </c>
    </row>
    <row r="12">
      <c r="A12" s="3" t="inlineStr">
        <is>
          <t>Data/ML engineer — FTE</t>
        </is>
      </c>
      <c r="B12" s="6" t="n">
        <v>1</v>
      </c>
      <c r="C12" t="inlineStr">
        <is>
          <t>FTE</t>
        </is>
      </c>
      <c r="D12" s="3" t="inlineStr">
        <is>
          <t>Team plan</t>
        </is>
      </c>
    </row>
    <row r="13">
      <c r="A13" s="3" t="inlineStr">
        <is>
          <t>Full-stack — FTE</t>
        </is>
      </c>
      <c r="B13" s="6" t="n">
        <v>1</v>
      </c>
      <c r="C13" t="inlineStr">
        <is>
          <t>FTE</t>
        </is>
      </c>
      <c r="D13" s="3" t="inlineStr">
        <is>
          <t>Team plan</t>
        </is>
      </c>
    </row>
    <row r="14">
      <c r="A14" s="3" t="inlineStr">
        <is>
          <t>Domain analyst — FTE</t>
        </is>
      </c>
      <c r="B14" s="6" t="n">
        <v>0.5</v>
      </c>
      <c r="C14" t="inlineStr">
        <is>
          <t>FTE</t>
        </is>
      </c>
      <c r="D14" s="3" t="inlineStr">
        <is>
          <t>Team plan</t>
        </is>
      </c>
    </row>
    <row r="15">
      <c r="A15" s="3" t="inlineStr">
        <is>
          <t>PM — FTE</t>
        </is>
      </c>
      <c r="B15" s="6" t="n">
        <v>0.5</v>
      </c>
      <c r="C15" t="inlineStr">
        <is>
          <t>FTE</t>
        </is>
      </c>
      <c r="D15" s="3" t="inlineStr">
        <is>
          <t>Team plan</t>
        </is>
      </c>
    </row>
    <row r="16">
      <c r="A16" s="4" t="inlineStr">
        <is>
          <t>DATA &amp; LICENSING</t>
        </is>
      </c>
    </row>
    <row r="17">
      <c r="A17" s="3" t="inlineStr">
        <is>
          <t>LSEG / baseline ESG feed — pilot</t>
        </is>
      </c>
      <c r="B17" s="7" t="n"/>
      <c r="C17" t="inlineStr">
        <is>
          <t>SGD total</t>
        </is>
      </c>
      <c r="D17" s="8" t="inlineStr">
        <is>
          <t>NEEDS QUOTE — enquiry to LSEG/CGSI, no reply. If none, model from comparables and SAY SO on the slide.</t>
        </is>
      </c>
    </row>
    <row r="18">
      <c r="A18" s="3" t="inlineStr">
        <is>
          <t>Licensed job-posting feed</t>
        </is>
      </c>
      <c r="B18" s="7" t="n"/>
      <c r="C18" t="inlineStr">
        <is>
          <t>SGD total</t>
        </is>
      </c>
      <c r="D18" s="8" t="inlineStr">
        <is>
          <t>NEEDS QUOTE — licensed feeds only, no scraping.</t>
        </is>
      </c>
    </row>
    <row r="19">
      <c r="A19" s="3" t="inlineStr">
        <is>
          <t>Exchange filings (SGX/Bursa/IDX/SET/PSE)</t>
        </is>
      </c>
      <c r="B19" s="6" t="n">
        <v>0</v>
      </c>
      <c r="C19" t="inlineStr">
        <is>
          <t>SGD total</t>
        </is>
      </c>
      <c r="D19" s="3" t="inlineStr">
        <is>
          <t>Free — public portals</t>
        </is>
      </c>
    </row>
    <row r="20">
      <c r="A20" s="3" t="inlineStr">
        <is>
          <t>Patent data (EPO OPS free tier)</t>
        </is>
      </c>
      <c r="B20" s="6" t="n">
        <v>0</v>
      </c>
      <c r="C20" t="inlineStr">
        <is>
          <t>SGD total</t>
        </is>
      </c>
      <c r="D20" s="3" t="inlineStr">
        <is>
          <t>Free tier</t>
        </is>
      </c>
    </row>
    <row r="21">
      <c r="A21" s="3" t="inlineStr">
        <is>
          <t>Industry benchmark (Eurostat)</t>
        </is>
      </c>
      <c r="B21" s="6" t="n">
        <v>0</v>
      </c>
      <c r="C21" t="inlineStr">
        <is>
          <t>SGD total</t>
        </is>
      </c>
      <c r="D21" s="3" t="inlineStr">
        <is>
          <t>Free, keyless — env_ac_aeint_r2. All 22 rows reproduce live.</t>
        </is>
      </c>
    </row>
    <row r="22">
      <c r="A22" s="4" t="inlineStr">
        <is>
          <t>INFRASTRUCTURE &amp; INFERENCE</t>
        </is>
      </c>
    </row>
    <row r="23">
      <c r="A23" s="3" t="inlineStr">
        <is>
          <t>Cloud hosting &amp; storage — pilot</t>
        </is>
      </c>
      <c r="B23" s="6" t="n">
        <v>2000</v>
      </c>
      <c r="C23" t="inlineStr">
        <is>
          <t>SGD total</t>
        </is>
      </c>
      <c r="D23" s="3" t="inlineStr">
        <is>
          <t>Slide 16 figure. Cross-check vs the ~S$52/semester Alibaba actual.</t>
        </is>
      </c>
    </row>
    <row r="24">
      <c r="A24" s="3" t="inlineStr">
        <is>
          <t>Prompt tokens per company per SWEEP</t>
        </is>
      </c>
      <c r="B24" s="6" t="n">
        <v>5604</v>
      </c>
      <c r="C24" t="inlineStr">
        <is>
          <t>tokens</t>
        </is>
      </c>
      <c r="D24" s="3" t="inlineStr">
        <is>
          <t>MEASURED over 28 companies (harvest.py --cost)</t>
        </is>
      </c>
    </row>
    <row r="25">
      <c r="A25" s="3" t="inlineStr">
        <is>
          <t>Output tokens per company per SWEEP</t>
        </is>
      </c>
      <c r="B25" s="6" t="n">
        <v>455</v>
      </c>
      <c r="C25" t="inlineStr">
        <is>
          <t>tokens</t>
        </is>
      </c>
      <c r="D25" s="3" t="inlineStr">
        <is>
          <t>MEASURED — never discounted by the cache</t>
        </is>
      </c>
    </row>
    <row r="26">
      <c r="A26" s="3" t="inlineStr">
        <is>
          <t>Cacheable prompt share</t>
        </is>
      </c>
      <c r="B26" s="6" t="n">
        <v>0.288</v>
      </c>
      <c r="C26" t="inlineStr">
        <is>
          <t>share</t>
        </is>
      </c>
      <c r="D26" s="3" t="inlineStr">
        <is>
          <t>MEASURED — the byte-identical system prompt, 28.8% of the prompt</t>
        </is>
      </c>
    </row>
    <row r="27">
      <c r="A27" s="3" t="inlineStr">
        <is>
          <t>Cache hit rate on the cacheable share</t>
        </is>
      </c>
      <c r="B27" s="6" t="n">
        <v>0.9</v>
      </c>
      <c r="C27" t="inlineStr">
        <is>
          <t>share</t>
        </is>
      </c>
      <c r="D27" s="3" t="inlineStr">
        <is>
          <t>Assumption. Applies ONLY to the cacheable share, never to output.</t>
        </is>
      </c>
    </row>
    <row r="28">
      <c r="A28" s="3" t="inlineStr">
        <is>
          <t>Sweeps per company per month</t>
        </is>
      </c>
      <c r="B28" s="6" t="n">
        <v>4</v>
      </c>
      <c r="C28" t="inlineStr">
        <is>
          <t>sweeps</t>
        </is>
      </c>
      <c r="D28" s="3" t="inlineStr">
        <is>
          <t>Cadence decision — 4 = weekly</t>
        </is>
      </c>
    </row>
    <row r="29">
      <c r="A29" s="3" t="inlineStr">
        <is>
          <t>Tokens per signal (SCORING path)</t>
        </is>
      </c>
      <c r="B29" s="6" t="n">
        <v>0</v>
      </c>
      <c r="C29" t="inlineStr">
        <is>
          <t>tokens</t>
        </is>
      </c>
      <c r="D29" s="3" t="inlineStr">
        <is>
          <t>MEASURED — structurally zero. signals.py routes by rule, engine.py scores deterministically; no LLM is reachable from either.</t>
        </is>
      </c>
    </row>
    <row r="30">
      <c r="A30" s="3" t="inlineStr">
        <is>
          <t>Price — 1M input, cache HIT</t>
        </is>
      </c>
      <c r="B30" s="6" t="n">
        <v>0.007</v>
      </c>
      <c r="C30" t="inlineStr">
        <is>
          <t>USD</t>
        </is>
      </c>
      <c r="D30" s="3" t="inlineStr">
        <is>
          <t>Provider published card. SUPPLIED at build time; never guessed.</t>
        </is>
      </c>
    </row>
    <row r="31">
      <c r="A31" s="3" t="inlineStr">
        <is>
          <t>Price — 1M input, cache MISS</t>
        </is>
      </c>
      <c r="B31" s="6" t="n">
        <v>0.22</v>
      </c>
      <c r="C31" t="inlineStr">
        <is>
          <t>USD</t>
        </is>
      </c>
      <c r="D31" s="3" t="inlineStr">
        <is>
          <t>Provider published card</t>
        </is>
      </c>
    </row>
    <row r="32">
      <c r="A32" s="3" t="inlineStr">
        <is>
          <t>Price — 1M output</t>
        </is>
      </c>
      <c r="B32" s="6" t="n">
        <v>0.66</v>
      </c>
      <c r="C32" t="inlineStr">
        <is>
          <t>USD</t>
        </is>
      </c>
      <c r="D32" s="3" t="inlineStr">
        <is>
          <t>Provider published card</t>
        </is>
      </c>
    </row>
    <row r="33">
      <c r="A33" s="3" t="inlineStr">
        <is>
          <t>USD:SGD</t>
        </is>
      </c>
      <c r="B33" s="6" t="n">
        <v>1.35</v>
      </c>
      <c r="C33" t="inlineStr">
        <is>
          <t>rate</t>
        </is>
      </c>
      <c r="D33" s="3" t="inlineStr">
        <is>
          <t>Set to the rate used on the slide</t>
        </is>
      </c>
    </row>
    <row r="34">
      <c r="A34" s="4" t="inlineStr">
        <is>
          <t>COVERAGE</t>
        </is>
      </c>
    </row>
    <row r="35">
      <c r="A35" s="3" t="inlineStr">
        <is>
          <t>Companies covered — pilot</t>
        </is>
      </c>
      <c r="B35" s="6" t="n">
        <v>52</v>
      </c>
      <c r="C35" t="inlineStr">
        <is>
          <t>companies</t>
        </is>
      </c>
      <c r="D35" s="3" t="inlineStr">
        <is>
          <t>The CGSI verified basket</t>
        </is>
      </c>
    </row>
    <row r="36">
      <c r="A36" s="3" t="inlineStr">
        <is>
          <t>Companies covered — Year 1</t>
        </is>
      </c>
      <c r="B36" s="6" t="n">
        <v>500</v>
      </c>
      <c r="C36" t="inlineStr">
        <is>
          <t>companies</t>
        </is>
      </c>
      <c r="D36" s="3" t="inlineStr">
        <is>
          <t>Scenario lever</t>
        </is>
      </c>
    </row>
    <row r="37">
      <c r="A37" s="3" t="inlineStr">
        <is>
          <t>Companies covered — Year 3</t>
        </is>
      </c>
      <c r="B37" s="6" t="n">
        <v>2000</v>
      </c>
      <c r="C37" t="inlineStr">
        <is>
          <t>companies</t>
        </is>
      </c>
      <c r="D37" s="3" t="inlineStr">
        <is>
          <t>Scenario lever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74" customWidth="1" min="3" max="3"/>
  </cols>
  <sheetData>
    <row r="1">
      <c r="A1" s="4" t="inlineStr">
        <is>
          <t>PILOT COST — bottom-up, commercial rates</t>
        </is>
      </c>
    </row>
    <row r="2">
      <c r="A2" s="5" t="inlineStr">
        <is>
          <t>Calculates from Assumptions. Amber rows are blank until a quote arrives.</t>
        </is>
      </c>
    </row>
    <row r="4">
      <c r="A4" s="4" t="inlineStr">
        <is>
          <t>Line</t>
        </is>
      </c>
      <c r="B4" s="4" t="inlineStr">
        <is>
          <t>SGD</t>
        </is>
      </c>
      <c r="C4" s="4" t="inlineStr">
        <is>
          <t>Basis</t>
        </is>
      </c>
    </row>
    <row r="5">
      <c r="A5" s="4" t="inlineStr">
        <is>
          <t>PEOPLE</t>
        </is>
      </c>
    </row>
    <row r="6">
      <c r="A6" t="inlineStr">
        <is>
          <t>Data / ML engineer</t>
        </is>
      </c>
      <c r="B6" s="9">
        <f>Assumptions!$B$6*Assumptions!$B$10*Assumptions!$B$11*Assumptions!$B$12</f>
        <v/>
      </c>
      <c r="C6" s="3" t="inlineStr">
        <is>
          <t>day rate x weeks x days/week x FTE</t>
        </is>
      </c>
    </row>
    <row r="7">
      <c r="A7" t="inlineStr">
        <is>
          <t>Full-stack engineer</t>
        </is>
      </c>
      <c r="B7" s="9">
        <f>Assumptions!$B$7*Assumptions!$B$10*Assumptions!$B$11*Assumptions!$B$13</f>
        <v/>
      </c>
      <c r="C7" s="3" t="inlineStr">
        <is>
          <t>day rate x weeks x days/week x FTE</t>
        </is>
      </c>
    </row>
    <row r="8">
      <c r="A8" t="inlineStr">
        <is>
          <t>Domain / ESG analyst</t>
        </is>
      </c>
      <c r="B8" s="9">
        <f>Assumptions!$B$8*Assumptions!$B$10*Assumptions!$B$11*Assumptions!$B$14</f>
        <v/>
      </c>
      <c r="C8" s="3" t="inlineStr">
        <is>
          <t>day rate x weeks x days/week x FTE</t>
        </is>
      </c>
    </row>
    <row r="9">
      <c r="A9" t="inlineStr">
        <is>
          <t>Project manager</t>
        </is>
      </c>
      <c r="B9" s="9">
        <f>Assumptions!$B$9*Assumptions!$B$10*Assumptions!$B$11*Assumptions!$B$15</f>
        <v/>
      </c>
      <c r="C9" s="3" t="inlineStr">
        <is>
          <t>day rate x weeks x days/week x FTE</t>
        </is>
      </c>
    </row>
    <row r="10">
      <c r="A10" s="4" t="inlineStr">
        <is>
          <t>People subtotal</t>
        </is>
      </c>
      <c r="B10" s="9">
        <f>SUM(B6:B9)</f>
        <v/>
      </c>
    </row>
    <row r="12">
      <c r="A12" s="4" t="inlineStr">
        <is>
          <t>DATA &amp; LICENSING</t>
        </is>
      </c>
    </row>
    <row r="13">
      <c r="A13" t="inlineStr">
        <is>
          <t>LSEG / baseline ESG feed</t>
        </is>
      </c>
      <c r="B13" s="7">
        <f>Assumptions!$B$17</f>
        <v/>
      </c>
      <c r="C13" s="3" t="inlineStr">
        <is>
          <t>from Assumptions — BLANK until a quote arrives</t>
        </is>
      </c>
    </row>
    <row r="14">
      <c r="A14" t="inlineStr">
        <is>
          <t>Licensed job-posting feed</t>
        </is>
      </c>
      <c r="B14" s="7">
        <f>Assumptions!$B$18</f>
        <v/>
      </c>
      <c r="C14" s="3" t="inlineStr">
        <is>
          <t>from Assumptions — BLANK until a quote arrives</t>
        </is>
      </c>
    </row>
    <row r="15">
      <c r="A15" t="inlineStr">
        <is>
          <t>Free sources (filings, patents, Eurostat)</t>
        </is>
      </c>
      <c r="B15" s="9" t="n">
        <v>0</v>
      </c>
      <c r="C15" t="inlineStr">
        <is>
          <t>free by design</t>
        </is>
      </c>
    </row>
    <row r="16">
      <c r="A16" s="4" t="inlineStr">
        <is>
          <t>Data subtotal</t>
        </is>
      </c>
      <c r="B16" s="9">
        <f>SUM(B13:B15)</f>
        <v/>
      </c>
    </row>
    <row r="18">
      <c r="A18" s="4" t="inlineStr">
        <is>
          <t>INFRASTRUCTURE &amp; INFERENCE</t>
        </is>
      </c>
    </row>
    <row r="19">
      <c r="A19" t="inlineStr">
        <is>
          <t>Cloud hosting &amp; storage</t>
        </is>
      </c>
      <c r="B19" s="9">
        <f>Assumptions!$B$23</f>
        <v/>
      </c>
      <c r="C19" t="inlineStr">
        <is>
          <t>from Assumptions</t>
        </is>
      </c>
    </row>
    <row r="20">
      <c r="A20" t="inlineStr">
        <is>
          <t>LLM inference — pilot window</t>
        </is>
      </c>
      <c r="B20" s="9">
        <f>Assumptions!$B$35*'Unit Economics'!$B$9*Assumptions!$B$28*1.5</f>
        <v/>
      </c>
      <c r="C20" s="3" t="inlineStr">
        <is>
          <t>companies x SGD per company per sweep x sweeps/month x 1.5 months (the 6-week pilot)</t>
        </is>
      </c>
    </row>
    <row r="21">
      <c r="A21" s="4" t="inlineStr">
        <is>
          <t>Infrastructure subtotal</t>
        </is>
      </c>
      <c r="B21" s="9">
        <f>SUM(B19:B20)</f>
        <v/>
      </c>
    </row>
    <row r="23">
      <c r="A23" s="4" t="inlineStr">
        <is>
          <t>COMPLIANCE &amp; OTHER</t>
        </is>
      </c>
    </row>
    <row r="24">
      <c r="A24" t="inlineStr">
        <is>
          <t>Legal review</t>
        </is>
      </c>
      <c r="B24" s="7" t="n"/>
      <c r="C24" s="10" t="inlineStr">
        <is>
          <t>NEEDS A QUOTE</t>
        </is>
      </c>
    </row>
    <row r="25">
      <c r="A25" t="inlineStr">
        <is>
          <t>Professional indemnity insurance</t>
        </is>
      </c>
      <c r="B25" s="7" t="n"/>
      <c r="C25" s="10" t="inlineStr">
        <is>
          <t>NEEDS A QUOTE</t>
        </is>
      </c>
    </row>
    <row r="26">
      <c r="A26" s="4" t="inlineStr">
        <is>
          <t>Compliance subtotal</t>
        </is>
      </c>
      <c r="B26" s="9">
        <f>SUM(B24:B25)</f>
        <v/>
      </c>
    </row>
    <row r="28">
      <c r="A28" s="4" t="inlineStr">
        <is>
          <t>TOTAL — fully loaded pilot</t>
        </is>
      </c>
      <c r="B28" s="9">
        <f>B10+B16+B21+B26</f>
        <v/>
      </c>
      <c r="C28" s="8" t="inlineStr">
        <is>
          <t>INCOMPLETE while the amber rows are blank. Say so on the slide rather than presenting this as the fully-loaded number.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76" customWidth="1" min="3" max="3"/>
  </cols>
  <sheetData>
    <row r="1">
      <c r="A1" s="4" t="inlineStr">
        <is>
          <t>UNIT ECONOMICS — cost to cover one company</t>
        </is>
      </c>
    </row>
    <row r="2">
      <c r="A2" s="5" t="inlineStr">
        <is>
          <t>Inference only. Excludes the fixed data licence — that is the cost which falls per company as clients are added.</t>
        </is>
      </c>
    </row>
    <row r="4">
      <c r="A4" s="4" t="inlineStr">
        <is>
          <t>Metric</t>
        </is>
      </c>
      <c r="B4" s="4" t="inlineStr">
        <is>
          <t>Value</t>
        </is>
      </c>
      <c r="C4" s="4" t="inlineStr">
        <is>
          <t>Basis</t>
        </is>
      </c>
    </row>
    <row r="5">
      <c r="A5" t="inlineStr">
        <is>
          <t>Prompt tokens billed at HIT price</t>
        </is>
      </c>
      <c r="B5" s="9">
        <f>Assumptions!$B$24*Assumptions!$B$26*Assumptions!$B$27</f>
        <v/>
      </c>
      <c r="C5" s="3" t="inlineStr">
        <is>
          <t>prompt x cacheable share x hit rate</t>
        </is>
      </c>
    </row>
    <row r="6">
      <c r="A6" t="inlineStr">
        <is>
          <t>Prompt tokens billed at MISS price</t>
        </is>
      </c>
      <c r="B6" s="9">
        <f>Assumptions!$B$24-B5</f>
        <v/>
      </c>
      <c r="C6" s="3" t="inlineStr">
        <is>
          <t>everything in the prompt the cache did not serve</t>
        </is>
      </c>
    </row>
    <row r="7">
      <c r="A7" t="inlineStr">
        <is>
          <t>Output tokens per sweep</t>
        </is>
      </c>
      <c r="B7" s="9">
        <f>Assumptions!$B$25</f>
        <v/>
      </c>
      <c r="C7" s="3" t="inlineStr">
        <is>
          <t>MEASURED — never discounted by the cache</t>
        </is>
      </c>
    </row>
    <row r="8">
      <c r="A8" t="inlineStr">
        <is>
          <t>USD per company per sweep</t>
        </is>
      </c>
      <c r="B8" s="9">
        <f>(B5/1000000*Assumptions!$B$30)+(B6/1000000*Assumptions!$B$31)+(B7/1000000*Assumptions!$B$32)</f>
        <v/>
      </c>
      <c r="C8" s="3" t="inlineStr">
        <is>
          <t>a cache HIT is a cheaper RATE, not free — priced separately, never written off</t>
        </is>
      </c>
    </row>
    <row r="9">
      <c r="A9" t="inlineStr">
        <is>
          <t>SGD per company per sweep</t>
        </is>
      </c>
      <c r="B9" s="9">
        <f>B8*Assumptions!$B$33</f>
        <v/>
      </c>
      <c r="C9" s="3" t="inlineStr">
        <is>
          <t>USD x FX</t>
        </is>
      </c>
    </row>
    <row r="10">
      <c r="A10" t="inlineStr">
        <is>
          <t>SGD per company per MONTH</t>
        </is>
      </c>
      <c r="B10" s="9">
        <f>B9*Assumptions!$B$28</f>
        <v/>
      </c>
      <c r="C10" s="3" t="inlineStr">
        <is>
          <t>x sweeps per month</t>
        </is>
      </c>
    </row>
    <row r="11">
      <c r="A11" t="inlineStr">
        <is>
          <t>SGD per company per YEAR</t>
        </is>
      </c>
      <c r="B11" s="9">
        <f>B10*12</f>
        <v/>
      </c>
      <c r="C11" s="3" t="inlineStr">
        <is>
          <t>x 12</t>
        </is>
      </c>
    </row>
    <row r="13">
      <c r="A13" s="2" t="inlineStr">
        <is>
          <t>The data licence is a FIXED cost shared across all clients. Inference is the only truly variable cost, and it is linear in companies.</t>
        </is>
      </c>
    </row>
    <row r="14">
      <c r="A14" s="2" t="inlineStr">
        <is>
          <t>So the marginal-cost-per-company line is FLAT on inference alone. It falls only once the fixed licence is spread across clients — which cannot be charted until a quote exists. Drawing a falling line before then is drawing the conclusion first.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62" customWidth="1" min="5" max="5"/>
  </cols>
  <sheetData>
    <row r="1">
      <c r="A1" s="4" t="inlineStr">
        <is>
          <t>SCALE SCENARIOS — annual run-rate</t>
        </is>
      </c>
    </row>
    <row r="2">
      <c r="A2" s="5" t="inlineStr">
        <is>
          <t>Annual run-rate, including the Pilot column. The Pilot Cost tab is a 6-week spend — a different basis. Do not compare totals.</t>
        </is>
      </c>
    </row>
    <row r="4">
      <c r="A4" s="4" t="inlineStr">
        <is>
          <t>Metric</t>
        </is>
      </c>
      <c r="B4" s="4" t="inlineStr">
        <is>
          <t>Pilot</t>
        </is>
      </c>
      <c r="C4" s="4" t="inlineStr">
        <is>
          <t>Year 1</t>
        </is>
      </c>
      <c r="D4" s="4" t="inlineStr">
        <is>
          <t>Year 3</t>
        </is>
      </c>
      <c r="E4" s="4" t="inlineStr">
        <is>
          <t>Basis</t>
        </is>
      </c>
    </row>
    <row r="5">
      <c r="A5" t="inlineStr">
        <is>
          <t>Companies covered</t>
        </is>
      </c>
      <c r="B5" s="9">
        <f>Assumptions!$B$35</f>
        <v/>
      </c>
      <c r="C5" s="9">
        <f>Assumptions!$B$36</f>
        <v/>
      </c>
      <c r="D5" s="9">
        <f>Assumptions!$B$37</f>
        <v/>
      </c>
      <c r="E5" t="inlineStr">
        <is>
          <t>from Assumptions</t>
        </is>
      </c>
    </row>
    <row r="6">
      <c r="A6" t="inlineStr">
        <is>
          <t>Inference (SGD/yr)</t>
        </is>
      </c>
      <c r="B6" s="9">
        <f>B5*'Unit Economics'!$B$11</f>
        <v/>
      </c>
      <c r="C6" s="9">
        <f>C5*'Unit Economics'!$B$11</f>
        <v/>
      </c>
      <c r="D6" s="9">
        <f>D5*'Unit Economics'!$B$11</f>
        <v/>
      </c>
      <c r="E6" s="3" t="inlineStr">
        <is>
          <t>companies x SGD per company per year</t>
        </is>
      </c>
    </row>
    <row r="7">
      <c r="A7" t="inlineStr">
        <is>
          <t>People (SGD/yr)</t>
        </is>
      </c>
      <c r="B7" s="7" t="n"/>
      <c r="C7" s="7" t="n"/>
      <c r="D7" s="7" t="n"/>
      <c r="E7" s="10" t="inlineStr">
        <is>
          <t>NEEDS headcount plan + licence quote</t>
        </is>
      </c>
    </row>
    <row r="8">
      <c r="A8" t="inlineStr">
        <is>
          <t>Data &amp; licensing (SGD/yr)</t>
        </is>
      </c>
      <c r="B8" s="7" t="n"/>
      <c r="C8" s="7" t="n"/>
      <c r="D8" s="7" t="n"/>
      <c r="E8" s="10" t="inlineStr">
        <is>
          <t>NEEDS headcount plan + licence quote</t>
        </is>
      </c>
    </row>
    <row r="9">
      <c r="A9" t="inlineStr">
        <is>
          <t>Cloud &amp; infra (SGD/yr)</t>
        </is>
      </c>
      <c r="B9" s="7" t="n"/>
      <c r="C9" s="7" t="n"/>
      <c r="D9" s="7" t="n"/>
      <c r="E9" s="10" t="inlineStr">
        <is>
          <t>NEEDS headcount plan + licence quote</t>
        </is>
      </c>
    </row>
    <row r="10">
      <c r="A10" s="4" t="inlineStr">
        <is>
          <t>Total cost (SGD/yr)</t>
        </is>
      </c>
      <c r="B10" s="9">
        <f>SUM(B6:B9)</f>
        <v/>
      </c>
      <c r="C10" s="9">
        <f>SUM(C6:C9)</f>
        <v/>
      </c>
      <c r="D10" s="9">
        <f>SUM(D6:D9)</f>
        <v/>
      </c>
    </row>
    <row r="12">
      <c r="A12" s="4" t="inlineStr">
        <is>
          <t>Marginal cost per company — INFERENCE ONLY</t>
        </is>
      </c>
      <c r="B12" s="9">
        <f>'Unit Economics'!$B$11</f>
        <v/>
      </c>
      <c r="C12" s="9">
        <f>'Unit Economics'!$B$11</f>
        <v/>
      </c>
      <c r="D12" s="9">
        <f>'Unit Economics'!$B$11</f>
        <v/>
      </c>
      <c r="E12" s="8" t="inlineStr">
        <is>
          <t>FLAT by construction — inference is linear in companies. This is NOT the falling chart; that needs the fixed licence spread across clients.</t>
        </is>
      </c>
    </row>
    <row r="13">
      <c r="A13" s="4" t="inlineStr">
        <is>
          <t>Total cost per company (SGD/yr)</t>
        </is>
      </c>
      <c r="B13" s="9">
        <f>B10/B5</f>
        <v/>
      </c>
      <c r="C13" s="9">
        <f>C10/C5</f>
        <v/>
      </c>
      <c r="D13" s="9">
        <f>D10/D5</f>
        <v/>
      </c>
      <c r="E13" s="3" t="inlineStr">
        <is>
          <t>THIS is the line that falls — once People and Data are filled.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62" customWidth="1" min="3" max="3"/>
  </cols>
  <sheetData>
    <row r="1">
      <c r="A1" s="4" t="inlineStr">
        <is>
          <t>HACKATHON ACTUALS — what the team is really spending</t>
        </is>
      </c>
    </row>
    <row r="2">
      <c r="A2" s="5" t="inlineStr">
        <is>
          <t>Never mix with the commercial pilot ask. Label both wherever they appear.</t>
        </is>
      </c>
    </row>
    <row r="4">
      <c r="A4" s="4" t="inlineStr">
        <is>
          <t>Line</t>
        </is>
      </c>
      <c r="B4" s="4" t="inlineStr">
        <is>
          <t>SGD</t>
        </is>
      </c>
      <c r="C4" s="4" t="inlineStr">
        <is>
          <t>Source</t>
        </is>
      </c>
    </row>
    <row r="5">
      <c r="A5" t="inlineStr">
        <is>
          <t>Alibaba Cloud hosting (2 vCPU / 2GB), semester</t>
        </is>
      </c>
      <c r="B5" s="6" t="n">
        <v>52</v>
      </c>
      <c r="C5" s="3" t="inlineStr">
        <is>
          <t>Methodology Appendix A</t>
        </is>
      </c>
    </row>
    <row r="6">
      <c r="A6" t="inlineStr">
        <is>
          <t>Bandwidth / storage buffer</t>
        </is>
      </c>
      <c r="B6" s="6" t="n">
        <v>13</v>
      </c>
      <c r="C6" s="3" t="inlineStr">
        <is>
          <t>Methodology Appendix A</t>
        </is>
      </c>
    </row>
    <row r="7">
      <c r="A7" t="inlineStr">
        <is>
          <t>DeepSeek credits — dev + demo</t>
        </is>
      </c>
      <c r="B7" s="6" t="n">
        <v>19</v>
      </c>
      <c r="C7" s="3" t="inlineStr">
        <is>
          <t>Methodology Appendix A</t>
        </is>
      </c>
    </row>
    <row r="8">
      <c r="A8" t="inlineStr">
        <is>
          <t>Public demo domain + SSL (one-time)</t>
        </is>
      </c>
      <c r="B8" s="6" t="n">
        <v>19</v>
      </c>
      <c r="C8" s="3" t="inlineStr">
        <is>
          <t>Methodology Appendix A</t>
        </is>
      </c>
    </row>
    <row r="9">
      <c r="A9" t="inlineStr">
        <is>
          <t>Testnet anchoring gas</t>
        </is>
      </c>
      <c r="B9" s="6" t="n">
        <v>0</v>
      </c>
      <c r="C9" s="3" t="inlineStr">
        <is>
          <t>Testnet — effectively zero</t>
        </is>
      </c>
    </row>
    <row r="10">
      <c r="A10" s="4" t="inlineStr">
        <is>
          <t>Subtotal</t>
        </is>
      </c>
      <c r="B10" s="9">
        <f>SUM(B5:B9)</f>
        <v/>
      </c>
    </row>
    <row r="11">
      <c r="A11" t="inlineStr">
        <is>
          <t>Contingency @ 15%</t>
        </is>
      </c>
      <c r="B11" s="9">
        <f>B10*0.15</f>
        <v/>
      </c>
    </row>
    <row r="12">
      <c r="A12" s="4" t="inlineStr">
        <is>
          <t>TOTAL — hackathon actuals</t>
        </is>
      </c>
      <c r="B12" s="9">
        <f>B10+B11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62" customWidth="1" min="4" max="4"/>
  </cols>
  <sheetData>
    <row r="1">
      <c r="A1" s="4" t="inlineStr">
        <is>
          <t>PRICING &amp; THE FUNDING ASK</t>
        </is>
      </c>
    </row>
    <row r="2">
      <c r="A2" s="5" t="inlineStr">
        <is>
          <t>Two cells here are business DECISIONS, not lookups. They stay blank until somebody decides.</t>
        </is>
      </c>
    </row>
    <row r="4">
      <c r="A4" s="4" t="inlineStr">
        <is>
          <t>Metric</t>
        </is>
      </c>
      <c r="B4" s="4" t="inlineStr">
        <is>
          <t>Year 1</t>
        </is>
      </c>
      <c r="C4" s="4" t="inlineStr">
        <is>
          <t>Year 3</t>
        </is>
      </c>
      <c r="D4" s="4" t="inlineStr">
        <is>
          <t>Note</t>
        </is>
      </c>
    </row>
    <row r="5">
      <c r="A5" t="inlineStr">
        <is>
          <t>Annual price per firm (SGD)</t>
        </is>
      </c>
      <c r="B5" s="7" t="n"/>
      <c r="C5" s="7" t="n"/>
      <c r="D5" s="10" t="inlineStr">
        <is>
          <t>NEEDS A NUMBER — anchor to a public ESG subscription comparable and cite it.</t>
        </is>
      </c>
    </row>
    <row r="6">
      <c r="A6" t="inlineStr">
        <is>
          <t>Customers</t>
        </is>
      </c>
      <c r="B6" s="7" t="n"/>
      <c r="C6" s="7" t="n"/>
      <c r="D6" s="10" t="inlineStr">
        <is>
          <t>NEEDS A PLAN</t>
        </is>
      </c>
    </row>
    <row r="7">
      <c r="A7" t="inlineStr">
        <is>
          <t>Revenue</t>
        </is>
      </c>
      <c r="B7" s="9">
        <f>B5*B6</f>
        <v/>
      </c>
      <c r="C7" s="9">
        <f>C5*C6</f>
        <v/>
      </c>
    </row>
    <row r="8">
      <c r="A8" t="inlineStr">
        <is>
          <t>Total cost</t>
        </is>
      </c>
      <c r="B8" s="9">
        <f>'Scale Scenarios'!C10</f>
        <v/>
      </c>
      <c r="C8" s="9">
        <f>'Scale Scenarios'!D10</f>
        <v/>
      </c>
    </row>
    <row r="9">
      <c r="A9" s="4" t="inlineStr">
        <is>
          <t>Margin</t>
        </is>
      </c>
      <c r="B9" s="9">
        <f>B7-B8</f>
        <v/>
      </c>
      <c r="C9" s="9">
        <f>C7-C8</f>
        <v/>
      </c>
    </row>
    <row r="11">
      <c r="A11" s="4" t="inlineStr">
        <is>
          <t>THE ASK</t>
        </is>
      </c>
    </row>
    <row r="12">
      <c r="A12" t="inlineStr">
        <is>
          <t>Amount requested (SGD)</t>
        </is>
      </c>
      <c r="B12" s="9">
        <f>'Pilot Cost'!B28</f>
        <v/>
      </c>
      <c r="D12" s="3" t="inlineStr">
        <is>
          <t>Defaults to the fully-loaded pilot — which is INCOMPLETE until the amber rows fill</t>
        </is>
      </c>
    </row>
    <row r="13">
      <c r="A13" t="inlineStr">
        <is>
          <t>Months it funds</t>
        </is>
      </c>
      <c r="B13" s="6" t="n">
        <v>6</v>
      </c>
      <c r="D13" s="3" t="inlineStr">
        <is>
          <t>Pilot duration</t>
        </is>
      </c>
    </row>
    <row r="14">
      <c r="A14" t="inlineStr">
        <is>
          <t>Milestone it buys</t>
        </is>
      </c>
      <c r="B14" s="7" t="n"/>
      <c r="D14" s="10" t="inlineStr">
        <is>
          <t>NEEDS A SPECIFIC, CHECKABLE MILESTONE — not 'build the product'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2026-08-21T18:03:15Z</dcterms:created>
  <dcterms:modified xsi:type="dcterms:W3CDTF">2026-08-21T18:03:15Z</dcterms:modified>
</cp:coreProperties>
</file>